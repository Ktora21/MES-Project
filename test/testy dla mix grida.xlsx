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a\OneDrive\Pulpit\ProjectMES\"/>
    </mc:Choice>
  </mc:AlternateContent>
  <xr:revisionPtr revIDLastSave="0" documentId="8_{EF69C773-4327-4E7E-8032-011CA160228F}" xr6:coauthVersionLast="47" xr6:coauthVersionMax="47" xr10:uidLastSave="{00000000-0000-0000-0000-000000000000}"/>
  <bookViews>
    <workbookView xWindow="-120" yWindow="-120" windowWidth="29040" windowHeight="16440" firstSheet="1" activeTab="3" xr2:uid="{176DAF6D-2C0D-4754-A2AB-E4F4475DDB58}"/>
  </bookViews>
  <sheets>
    <sheet name="kkk" sheetId="2" r:id="rId1"/>
    <sheet name="Wykres1" sheetId="3" r:id="rId2"/>
    <sheet name="Wykres2" sheetId="4" r:id="rId3"/>
    <sheet name="Arkusz1" sheetId="1" r:id="rId4"/>
  </sheets>
  <definedNames>
    <definedName name="ExternalData_1" localSheetId="0" hidden="1">kkk!$A$1:$D$11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0" i="1"/>
  <c r="E50" i="1"/>
  <c r="C51" i="1"/>
  <c r="D51" i="1"/>
  <c r="E51" i="1"/>
  <c r="C52" i="1"/>
  <c r="D52" i="1"/>
  <c r="E52" i="1"/>
  <c r="C53" i="1"/>
  <c r="D53" i="1"/>
  <c r="E53" i="1"/>
  <c r="B53" i="1"/>
  <c r="B52" i="1"/>
  <c r="B51" i="1"/>
  <c r="B50" i="1"/>
  <c r="E46" i="1"/>
  <c r="C44" i="1"/>
  <c r="B47" i="1"/>
  <c r="C47" i="1"/>
  <c r="D47" i="1"/>
  <c r="E47" i="1"/>
  <c r="C46" i="1"/>
  <c r="D46" i="1"/>
  <c r="B46" i="1"/>
  <c r="D45" i="1"/>
  <c r="C45" i="1"/>
  <c r="E45" i="1"/>
  <c r="B45" i="1"/>
  <c r="B44" i="1"/>
  <c r="D44" i="1"/>
  <c r="E44" i="1"/>
  <c r="C28" i="1"/>
  <c r="D28" i="1"/>
  <c r="D27" i="1"/>
  <c r="D26" i="1"/>
  <c r="D25" i="1"/>
  <c r="C27" i="1"/>
  <c r="C26" i="1"/>
  <c r="C25" i="1"/>
  <c r="E26" i="1"/>
  <c r="E27" i="1"/>
  <c r="E28" i="1"/>
  <c r="E25" i="1"/>
  <c r="B26" i="1"/>
  <c r="B27" i="1"/>
  <c r="B28" i="1"/>
  <c r="B25" i="1"/>
  <c r="F28" i="1" l="1"/>
  <c r="E35" i="1" s="1"/>
  <c r="F26" i="1"/>
  <c r="E33" i="1" s="1"/>
  <c r="F27" i="1"/>
  <c r="D34" i="1" s="1"/>
  <c r="F25" i="1"/>
  <c r="D32" i="1" s="1"/>
  <c r="C35" i="1" l="1"/>
  <c r="B35" i="1"/>
  <c r="D35" i="1"/>
  <c r="B33" i="1"/>
  <c r="D33" i="1"/>
  <c r="C33" i="1"/>
  <c r="E34" i="1"/>
  <c r="C34" i="1"/>
  <c r="B34" i="1"/>
  <c r="C32" i="1"/>
  <c r="E32" i="1"/>
  <c r="B3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71BBC3-8B05-4D6A-A517-35C0F39D9F76}" keepAlive="1" name="Zapytanie — kkk" description="Połączenie z zapytaniem „kkk” w skoroszycie." type="5" refreshedVersion="8" background="1" saveData="1">
    <dbPr connection="Provider=Microsoft.Mashup.OleDb.1;Data Source=$Workbook$;Location=kkk;Extended Properties=&quot;&quot;" command="SELECT * FROM [kkk]"/>
  </connection>
</connections>
</file>

<file path=xl/sharedStrings.xml><?xml version="1.0" encoding="utf-8"?>
<sst xmlns="http://schemas.openxmlformats.org/spreadsheetml/2006/main" count="23" uniqueCount="20">
  <si>
    <t>dN1/d ξ</t>
  </si>
  <si>
    <t>n2</t>
  </si>
  <si>
    <t>n3</t>
  </si>
  <si>
    <t>n4</t>
  </si>
  <si>
    <t>Column1</t>
  </si>
  <si>
    <t>Column2</t>
  </si>
  <si>
    <t>Column3</t>
  </si>
  <si>
    <t>Column4</t>
  </si>
  <si>
    <t>eta</t>
  </si>
  <si>
    <t>x po ksi</t>
  </si>
  <si>
    <t>pc1</t>
  </si>
  <si>
    <t>pc2</t>
  </si>
  <si>
    <t>pc3</t>
  </si>
  <si>
    <t>pc4</t>
  </si>
  <si>
    <t>y po ksi</t>
  </si>
  <si>
    <t>x po eta</t>
  </si>
  <si>
    <t>y po eta</t>
  </si>
  <si>
    <t>odwrotnosc i det</t>
  </si>
  <si>
    <t>dn/dx</t>
  </si>
  <si>
    <t>dn/dy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</si>
</sst>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0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72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5124240"/>
        <c:axId val="1435124656"/>
      </c:barChart>
      <c:catAx>
        <c:axId val="1435124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35124656"/>
        <c:crosses val="autoZero"/>
        <c:auto val="1"/>
        <c:lblAlgn val="ctr"/>
        <c:lblOffset val="100"/>
        <c:noMultiLvlLbl val="0"/>
      </c:catAx>
      <c:valAx>
        <c:axId val="14351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3512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401408"/>
        <c:axId val="1290401824"/>
      </c:barChart>
      <c:catAx>
        <c:axId val="129040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0401824"/>
        <c:crosses val="autoZero"/>
        <c:auto val="1"/>
        <c:lblAlgn val="ctr"/>
        <c:lblOffset val="100"/>
        <c:noMultiLvlLbl val="0"/>
      </c:catAx>
      <c:valAx>
        <c:axId val="12904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04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2431ED-9CC6-4E17-AA6E-BB9E7E1B32D6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B1612B-10A8-4EFC-9C60-FAED76E19D11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69135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3F85651-BB4E-89B7-B291-EFE8FB7581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338" cy="607373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A413283-FBA8-43AD-CC4F-F8AF664E54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48C136-FE7A-4F21-9D88-2F0A60BFCE2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06B0A-E0F7-4974-B63C-A37222EABEFA}" name="kkk" displayName="kkk" ref="A1:D11" tableType="queryTable" totalsRowShown="0">
  <autoFilter ref="A1:D11" xr:uid="{F0406B0A-E0F7-4974-B63C-A37222EABEFA}"/>
  <tableColumns count="4">
    <tableColumn id="1" xr3:uid="{2DBFEB02-66B3-4729-80A6-5186547E76F7}" uniqueName="1" name="Column1" queryTableFieldId="1"/>
    <tableColumn id="2" xr3:uid="{27A7E4E4-DA4A-4ED0-8646-7000475CA8A7}" uniqueName="2" name="Column2" queryTableFieldId="2"/>
    <tableColumn id="3" xr3:uid="{542A9CA1-4352-40A4-9C0C-79C3C3D482A0}" uniqueName="3" name="Column3" queryTableFieldId="3"/>
    <tableColumn id="4" xr3:uid="{CF08E42E-4D5D-41A2-881D-1DD67F94BD08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1165-8B24-4B82-BF20-68CCAF91FB38}">
  <dimension ref="A1:D11"/>
  <sheetViews>
    <sheetView workbookViewId="0">
      <selection activeCell="D11" sqref="A2:D11"/>
    </sheetView>
  </sheetViews>
  <sheetFormatPr defaultRowHeight="15" x14ac:dyDescent="0.25"/>
  <cols>
    <col min="1" max="4" width="11.140625" bestFit="1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>
        <v>0.39434000000000002</v>
      </c>
      <c r="B2">
        <v>0.39433800000000002</v>
      </c>
      <c r="C2">
        <v>0.10566200000000001</v>
      </c>
      <c r="D2">
        <v>-0.10566</v>
      </c>
    </row>
    <row r="3" spans="1:4" x14ac:dyDescent="0.25">
      <c r="A3">
        <v>-0.39434000000000002</v>
      </c>
      <c r="B3">
        <v>0.39433800000000002</v>
      </c>
      <c r="C3">
        <v>0.10566200000000001</v>
      </c>
      <c r="D3">
        <v>-0.10566</v>
      </c>
    </row>
    <row r="4" spans="1:4" x14ac:dyDescent="0.25">
      <c r="A4">
        <v>-0.10566</v>
      </c>
      <c r="B4">
        <v>0.10566200000000001</v>
      </c>
      <c r="C4">
        <v>0.39433800000000002</v>
      </c>
      <c r="D4">
        <v>-0.39434000000000002</v>
      </c>
    </row>
    <row r="5" spans="1:4" x14ac:dyDescent="0.25">
      <c r="A5">
        <v>-0.10566</v>
      </c>
      <c r="B5">
        <v>0.10566200000000001</v>
      </c>
      <c r="C5">
        <v>0.39433800000000002</v>
      </c>
      <c r="D5">
        <v>-0.39434000000000002</v>
      </c>
    </row>
    <row r="8" spans="1:4" x14ac:dyDescent="0.25">
      <c r="A8">
        <v>-0.39434000000000002</v>
      </c>
      <c r="B8">
        <v>-0.10566</v>
      </c>
      <c r="C8">
        <v>0.10566200000000001</v>
      </c>
      <c r="D8">
        <v>0.39433800000000002</v>
      </c>
    </row>
    <row r="9" spans="1:4" x14ac:dyDescent="0.25">
      <c r="A9">
        <v>-0.10566</v>
      </c>
      <c r="B9">
        <v>-0.39434000000000002</v>
      </c>
      <c r="C9">
        <v>0.39433800000000002</v>
      </c>
      <c r="D9">
        <v>0.10566200000000001</v>
      </c>
    </row>
    <row r="10" spans="1:4" x14ac:dyDescent="0.25">
      <c r="A10">
        <v>-0.39434000000000002</v>
      </c>
      <c r="B10">
        <v>-0.10566</v>
      </c>
      <c r="C10">
        <v>0.10566200000000001</v>
      </c>
      <c r="D10">
        <v>0.39433800000000002</v>
      </c>
    </row>
    <row r="11" spans="1:4" x14ac:dyDescent="0.25">
      <c r="A11">
        <v>-0.10566</v>
      </c>
      <c r="B11">
        <v>-0.39434000000000002</v>
      </c>
      <c r="C11">
        <v>0.39433800000000002</v>
      </c>
      <c r="D11">
        <v>0.10566200000000001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B1BF-B4CE-4DBC-9327-020A5DFEDCC3}">
  <dimension ref="A3:F53"/>
  <sheetViews>
    <sheetView tabSelected="1" topLeftCell="A8" zoomScale="85" zoomScaleNormal="85" workbookViewId="0">
      <selection activeCell="I38" sqref="I38"/>
    </sheetView>
  </sheetViews>
  <sheetFormatPr defaultRowHeight="15" x14ac:dyDescent="0.25"/>
  <cols>
    <col min="1" max="1" width="16.28515625" customWidth="1"/>
    <col min="2" max="2" width="14.28515625" customWidth="1"/>
    <col min="3" max="3" width="21.42578125" customWidth="1"/>
    <col min="4" max="4" width="31.5703125" customWidth="1"/>
  </cols>
  <sheetData>
    <row r="3" spans="1:5" x14ac:dyDescent="0.25">
      <c r="A3" s="2">
        <v>0.10000000100000001</v>
      </c>
      <c r="B3" s="2">
        <v>5.4691817599999998E-2</v>
      </c>
      <c r="C3" s="2">
        <v>6.2389932600000003E-2</v>
      </c>
      <c r="D3" s="2">
        <v>0.10000000100000001</v>
      </c>
      <c r="E3" s="1"/>
    </row>
    <row r="4" spans="1:5" x14ac:dyDescent="0.25">
      <c r="A4" s="2">
        <v>4.9999998899999997E-3</v>
      </c>
      <c r="B4" s="2">
        <v>4.9999998899999997E-3</v>
      </c>
      <c r="C4" s="2">
        <v>-3.2610066200000003E-2</v>
      </c>
      <c r="D4" s="2">
        <v>-4.0308184900000002E-2</v>
      </c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t="s">
        <v>0</v>
      </c>
      <c r="B8" s="1" t="s">
        <v>1</v>
      </c>
      <c r="C8" s="1" t="s">
        <v>2</v>
      </c>
      <c r="D8" s="1" t="s">
        <v>3</v>
      </c>
      <c r="E8" s="1"/>
    </row>
    <row r="9" spans="1:5" x14ac:dyDescent="0.25">
      <c r="A9" s="3">
        <v>-0.39434000000000002</v>
      </c>
      <c r="B9" s="4">
        <v>0.39433800000000002</v>
      </c>
      <c r="C9" s="4">
        <v>0.10566200000000001</v>
      </c>
      <c r="D9" s="5">
        <v>-0.10566</v>
      </c>
    </row>
    <row r="10" spans="1:5" x14ac:dyDescent="0.25">
      <c r="A10" s="6">
        <v>-0.39434000000000002</v>
      </c>
      <c r="B10" s="7">
        <v>0.39433800000000002</v>
      </c>
      <c r="C10" s="7">
        <v>0.10566200000000001</v>
      </c>
      <c r="D10" s="8">
        <v>-0.10566</v>
      </c>
    </row>
    <row r="11" spans="1:5" x14ac:dyDescent="0.25">
      <c r="A11" s="3">
        <v>-0.10566</v>
      </c>
      <c r="B11" s="4">
        <v>0.10566200000000001</v>
      </c>
      <c r="C11" s="4">
        <v>0.39433800000000002</v>
      </c>
      <c r="D11" s="5">
        <v>-0.39434000000000002</v>
      </c>
    </row>
    <row r="12" spans="1:5" x14ac:dyDescent="0.25">
      <c r="A12" s="6">
        <v>-0.10566</v>
      </c>
      <c r="B12" s="7">
        <v>0.10566200000000001</v>
      </c>
      <c r="C12" s="7">
        <v>0.39433800000000002</v>
      </c>
      <c r="D12" s="8">
        <v>-0.39434000000000002</v>
      </c>
    </row>
    <row r="13" spans="1:5" x14ac:dyDescent="0.25">
      <c r="A13" s="3"/>
      <c r="B13" s="4"/>
      <c r="C13" s="4"/>
      <c r="D13" s="5"/>
    </row>
    <row r="14" spans="1:5" x14ac:dyDescent="0.25">
      <c r="A14" s="6" t="s">
        <v>8</v>
      </c>
      <c r="B14" s="7" t="s">
        <v>8</v>
      </c>
      <c r="C14" s="7" t="s">
        <v>8</v>
      </c>
      <c r="D14" s="8" t="s">
        <v>8</v>
      </c>
    </row>
    <row r="15" spans="1:5" x14ac:dyDescent="0.25">
      <c r="A15" s="3">
        <v>-0.39434000000000002</v>
      </c>
      <c r="B15" s="4">
        <v>-0.10566</v>
      </c>
      <c r="C15" s="4">
        <v>0.10566200000000001</v>
      </c>
      <c r="D15" s="5">
        <v>0.39433800000000002</v>
      </c>
    </row>
    <row r="16" spans="1:5" x14ac:dyDescent="0.25">
      <c r="A16" s="6">
        <v>-0.10566</v>
      </c>
      <c r="B16" s="7">
        <v>-0.39434000000000002</v>
      </c>
      <c r="C16" s="7">
        <v>0.39433800000000002</v>
      </c>
      <c r="D16" s="8">
        <v>0.10566200000000001</v>
      </c>
    </row>
    <row r="17" spans="1:6" x14ac:dyDescent="0.25">
      <c r="A17" s="3">
        <v>-0.39434000000000002</v>
      </c>
      <c r="B17" s="4">
        <v>-0.10566</v>
      </c>
      <c r="C17" s="4">
        <v>0.10566200000000001</v>
      </c>
      <c r="D17" s="5">
        <v>0.39433800000000002</v>
      </c>
    </row>
    <row r="18" spans="1:6" x14ac:dyDescent="0.25">
      <c r="A18" s="6">
        <v>-0.10566</v>
      </c>
      <c r="B18" s="7">
        <v>-0.39434000000000002</v>
      </c>
      <c r="C18" s="7">
        <v>0.39433800000000002</v>
      </c>
      <c r="D18" s="8">
        <v>0.10566200000000001</v>
      </c>
    </row>
    <row r="23" spans="1:6" x14ac:dyDescent="0.25">
      <c r="A23">
        <v>3</v>
      </c>
      <c r="C23">
        <v>1</v>
      </c>
      <c r="D23">
        <v>2</v>
      </c>
      <c r="E23">
        <v>0</v>
      </c>
    </row>
    <row r="24" spans="1:6" x14ac:dyDescent="0.25">
      <c r="A24" t="s">
        <v>9</v>
      </c>
      <c r="C24" t="s">
        <v>14</v>
      </c>
      <c r="D24" t="s">
        <v>15</v>
      </c>
      <c r="E24" t="s">
        <v>16</v>
      </c>
    </row>
    <row r="25" spans="1:6" x14ac:dyDescent="0.25">
      <c r="A25" t="s">
        <v>10</v>
      </c>
      <c r="B25">
        <f>$A$3*A9+$B$3*B9+$C$3*C9+$D$3*D9</f>
        <v>-2.1840693472870001E-2</v>
      </c>
      <c r="C25">
        <f>($A$4*A9+$B$4*B9+$C$4*C9+$D$4*D9)*-1</f>
        <v>-8.1330800170981935E-4</v>
      </c>
      <c r="D25">
        <f>($A$3*A15+$B$3*B15+$C$3*C15+$D$3*D15)*-1</f>
        <v>-8.1330761076320313E-4</v>
      </c>
      <c r="E25">
        <f>$A$4*A15+$B$4*B15+$C$4*C15+$D$4*D15</f>
        <v>-2.1840693776920602E-2</v>
      </c>
      <c r="F25">
        <f>E25*B25-C25*D25</f>
        <v>4.7635442842885707E-4</v>
      </c>
    </row>
    <row r="26" spans="1:6" x14ac:dyDescent="0.25">
      <c r="A26" t="s">
        <v>11</v>
      </c>
      <c r="B26">
        <f>$A$3*A10+$B$3*B10+$C$3*C10+$D$3*D10</f>
        <v>-2.1840693472870001E-2</v>
      </c>
      <c r="C26">
        <f>($A$4*A10+$B$4*B10+$C$4*C10+$D$4*D10)*-1</f>
        <v>-8.1330800170981935E-4</v>
      </c>
      <c r="D26">
        <f>($A$3*A16+$B$3*B16+$C$3*C16+$D$3*D16)*-1</f>
        <v>-3.035749889236803E-3</v>
      </c>
      <c r="E26">
        <f t="shared" ref="E26:E28" si="0">$A$4*A16+$B$4*B16+$C$4*C16+$D$4*D16</f>
        <v>-1.9618431663079403E-2</v>
      </c>
      <c r="F26">
        <f t="shared" ref="F26:F28" si="1">E26*B26-C26*D26</f>
        <v>4.2601115269565848E-4</v>
      </c>
    </row>
    <row r="27" spans="1:6" x14ac:dyDescent="0.25">
      <c r="A27" t="s">
        <v>12</v>
      </c>
      <c r="B27">
        <f t="shared" ref="B26:B28" si="2">$A$3*A11+$B$3*B11+$C$3*C11+$D$3*D11</f>
        <v>-1.961843242713E-2</v>
      </c>
      <c r="C27">
        <f>($A$4*A11+$B$4*B11+$C$4*C11+$D$4*D11)*-1</f>
        <v>-3.0357513482901811E-3</v>
      </c>
      <c r="D27">
        <f>($A$3*A17+$B$3*B17+$C$3*C17+$D$3*D17)*-1</f>
        <v>-8.1330761076320313E-4</v>
      </c>
      <c r="E27">
        <f t="shared" si="0"/>
        <v>-2.1840693776920602E-2</v>
      </c>
      <c r="F27">
        <f t="shared" si="1"/>
        <v>4.2601117534820645E-4</v>
      </c>
    </row>
    <row r="28" spans="1:6" x14ac:dyDescent="0.25">
      <c r="A28" t="s">
        <v>13</v>
      </c>
      <c r="B28">
        <f t="shared" si="2"/>
        <v>-1.961843242713E-2</v>
      </c>
      <c r="C28">
        <f>($A$4*A12+$B$4*B12+$C$4*C12+$D$4*D12)*-1</f>
        <v>-3.0357513482901811E-3</v>
      </c>
      <c r="D28">
        <f>($A$3*A18+$B$3*B18+$C$3*C18+$D$3*D18)*-1</f>
        <v>-3.035749889236803E-3</v>
      </c>
      <c r="E28">
        <f t="shared" si="0"/>
        <v>-1.9618431663079403E-2</v>
      </c>
      <c r="F28">
        <f t="shared" si="1"/>
        <v>3.7566709408906845E-4</v>
      </c>
    </row>
    <row r="31" spans="1:6" x14ac:dyDescent="0.25">
      <c r="A31" t="s">
        <v>17</v>
      </c>
    </row>
    <row r="32" spans="1:6" x14ac:dyDescent="0.25">
      <c r="B32">
        <f>1/$F$25*B25</f>
        <v>-45.849670265282064</v>
      </c>
      <c r="C32">
        <f t="shared" ref="C32:E32" si="3">1/$F$25*C25</f>
        <v>-1.7073589604117343</v>
      </c>
      <c r="D32">
        <f t="shared" si="3"/>
        <v>-1.7073581397064088</v>
      </c>
      <c r="E32">
        <f t="shared" si="3"/>
        <v>-45.849670903568565</v>
      </c>
    </row>
    <row r="33" spans="1:5" x14ac:dyDescent="0.25">
      <c r="B33">
        <f>1/$F$26*B26</f>
        <v>-51.267891309110745</v>
      </c>
      <c r="C33">
        <f t="shared" ref="C33:E33" si="4">1/$F$26*C26</f>
        <v>-1.9091237320043708</v>
      </c>
      <c r="D33">
        <f t="shared" si="4"/>
        <v>-7.1259868903139649</v>
      </c>
      <c r="E33">
        <f t="shared" si="4"/>
        <v>-46.051450857425721</v>
      </c>
    </row>
    <row r="34" spans="1:5" x14ac:dyDescent="0.25">
      <c r="B34">
        <f>1/$F$27*B27</f>
        <v>-46.051450202203235</v>
      </c>
      <c r="C34">
        <f t="shared" ref="C34:E34" si="5">1/$F$27*C27</f>
        <v>-7.1259899363176693</v>
      </c>
      <c r="D34">
        <f t="shared" si="5"/>
        <v>-1.9091227127984007</v>
      </c>
      <c r="E34">
        <f t="shared" si="5"/>
        <v>-51.267889296727468</v>
      </c>
    </row>
    <row r="35" spans="1:5" x14ac:dyDescent="0.25">
      <c r="B35">
        <f>1/$F$28*B28</f>
        <v>-52.222919536515441</v>
      </c>
      <c r="C35">
        <f t="shared" ref="C35:E35" si="6">1/$F$28*C28</f>
        <v>-8.0809615642577999</v>
      </c>
      <c r="D35">
        <f t="shared" si="6"/>
        <v>-8.0809576803579297</v>
      </c>
      <c r="E35">
        <f t="shared" si="6"/>
        <v>-52.22291750266524</v>
      </c>
    </row>
    <row r="37" spans="1:5" x14ac:dyDescent="0.25">
      <c r="B37">
        <v>-45.849670903568565</v>
      </c>
      <c r="C37">
        <v>-1.7073589604117343</v>
      </c>
      <c r="D37">
        <v>-1.7073581397064088</v>
      </c>
      <c r="E37">
        <v>-45.849670265282064</v>
      </c>
    </row>
    <row r="38" spans="1:5" x14ac:dyDescent="0.25">
      <c r="B38">
        <v>-46.051450857425721</v>
      </c>
      <c r="C38">
        <v>-1.9091237320043708</v>
      </c>
      <c r="D38">
        <v>-7.1259868903139649</v>
      </c>
      <c r="E38">
        <v>-51.267891309110745</v>
      </c>
    </row>
    <row r="39" spans="1:5" x14ac:dyDescent="0.25">
      <c r="B39">
        <v>-51.267889296727468</v>
      </c>
      <c r="C39">
        <v>-7.1259899363176693</v>
      </c>
      <c r="D39">
        <v>-1.9091227127984007</v>
      </c>
      <c r="E39">
        <v>-46.051450202203235</v>
      </c>
    </row>
    <row r="40" spans="1:5" x14ac:dyDescent="0.25">
      <c r="B40">
        <v>-52.22291750266524</v>
      </c>
      <c r="C40">
        <v>-8.0809615642577999</v>
      </c>
      <c r="D40">
        <v>-8.0809576803579297</v>
      </c>
      <c r="E40">
        <v>-52.222919536515441</v>
      </c>
    </row>
    <row r="43" spans="1:5" x14ac:dyDescent="0.25">
      <c r="A43" t="s">
        <v>18</v>
      </c>
    </row>
    <row r="44" spans="1:5" x14ac:dyDescent="0.25">
      <c r="B44">
        <f>$B$37*A9+$C$37*A15</f>
        <v>18.753639156561995</v>
      </c>
      <c r="C44">
        <f>$B$37*B9+$C$37*B15</f>
        <v>-17.899867977014317</v>
      </c>
      <c r="D44">
        <f t="shared" ref="D44:E44" si="7">$B$37*C9+$C$37*C15</f>
        <v>-5.0249708894878866</v>
      </c>
      <c r="E44">
        <f t="shared" si="7"/>
        <v>4.1711997099402121</v>
      </c>
    </row>
    <row r="45" spans="1:5" x14ac:dyDescent="0.25">
      <c r="B45">
        <f>$B$38*A10+$C$38*A16</f>
        <v>18.361647144640841</v>
      </c>
      <c r="C45">
        <f t="shared" ref="C45:E45" si="8">$B$38*B10+$C$38*B16</f>
        <v>-17.406993175736943</v>
      </c>
      <c r="D45">
        <f>$B$38*C10+$C$38*C16</f>
        <v>-5.6187284347284567</v>
      </c>
      <c r="E45">
        <f t="shared" si="8"/>
        <v>4.6640744658245561</v>
      </c>
    </row>
    <row r="46" spans="1:5" x14ac:dyDescent="0.25">
      <c r="B46">
        <f>$B$39*A11+$C$39*A17</f>
        <v>8.2270280545797334</v>
      </c>
      <c r="C46">
        <f t="shared" ref="C46:E46" si="9">$B$39*B11+$C$39*B17</f>
        <v>-4.6641356221994936</v>
      </c>
      <c r="D46">
        <f t="shared" si="9"/>
        <v>-20.969823278144112</v>
      </c>
      <c r="E46">
        <f>$B$39*D11+$C$39*D17</f>
        <v>17.406930845763874</v>
      </c>
    </row>
    <row r="47" spans="1:5" x14ac:dyDescent="0.25">
      <c r="B47">
        <f>$B$40*A12+$C$40*A18</f>
        <v>6.371707862211089</v>
      </c>
      <c r="C47">
        <f t="shared" ref="C47:E47" si="10">$B$40*B12+$C$40*B18</f>
        <v>-2.3313315259171938</v>
      </c>
      <c r="D47">
        <f t="shared" si="10"/>
        <v>-23.780111063492299</v>
      </c>
      <c r="E47">
        <f t="shared" si="10"/>
        <v>19.739734727198403</v>
      </c>
    </row>
    <row r="50" spans="1:5" x14ac:dyDescent="0.25">
      <c r="A50" t="s">
        <v>19</v>
      </c>
      <c r="B50">
        <f>$D$37*A9+$E$37*A15</f>
        <v>18.753638581223154</v>
      </c>
      <c r="C50">
        <f t="shared" ref="C50:E50" si="11">$D$37*B9+$E$37*B15</f>
        <v>4.1711999661341572</v>
      </c>
      <c r="D50">
        <f t="shared" si="11"/>
        <v>-5.0249707353278925</v>
      </c>
      <c r="E50">
        <f t="shared" si="11"/>
        <v>-17.89986781202942</v>
      </c>
    </row>
    <row r="51" spans="1:5" x14ac:dyDescent="0.25">
      <c r="B51">
        <f>$D$38*A10+$E$38*A16</f>
        <v>8.2270270660470501</v>
      </c>
      <c r="C51">
        <f t="shared" ref="C51:E51" si="12">$D$38*B10+$E$38*B16</f>
        <v>17.406932840482103</v>
      </c>
      <c r="D51">
        <f t="shared" si="12"/>
        <v>-20.96982374985647</v>
      </c>
      <c r="E51">
        <f t="shared" si="12"/>
        <v>-4.6641361566726864</v>
      </c>
    </row>
    <row r="52" spans="1:5" x14ac:dyDescent="0.25">
      <c r="B52">
        <f>$D$39*A11+$E$39*A17</f>
        <v>18.361646778571103</v>
      </c>
      <c r="C52">
        <f t="shared" ref="C52:E52" si="13">$D$39*B11+$E$39*B17</f>
        <v>4.6640745042850895</v>
      </c>
      <c r="D52">
        <f t="shared" si="13"/>
        <v>-5.6187279635846945</v>
      </c>
      <c r="E52">
        <f t="shared" si="13"/>
        <v>-17.4069933192715</v>
      </c>
    </row>
    <row r="53" spans="1:5" x14ac:dyDescent="0.25">
      <c r="B53">
        <f>$D$40*A12+$E$40*A18</f>
        <v>6.3717076667348405</v>
      </c>
      <c r="C53">
        <f t="shared" ref="C53:E53" si="14">$D$40*B12+$E$40*B18</f>
        <v>19.73973593960752</v>
      </c>
      <c r="D53">
        <f t="shared" si="14"/>
        <v>-23.780110333947412</v>
      </c>
      <c r="E53">
        <f t="shared" si="14"/>
        <v>-2.3313332723949483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E63065-1563-4440-925B-D1B317FC0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Wykresy</vt:lpstr>
      </vt:variant>
      <vt:variant>
        <vt:i4>2</vt:i4>
      </vt:variant>
    </vt:vector>
  </HeadingPairs>
  <TitlesOfParts>
    <vt:vector size="4" baseType="lpstr">
      <vt:lpstr>kkk</vt:lpstr>
      <vt:lpstr>Arkusz1</vt:lpstr>
      <vt:lpstr>Wykres1</vt:lpstr>
      <vt:lpstr>Wykres2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 tora</dc:creator>
  <cp:lastModifiedBy>kinga tora</cp:lastModifiedBy>
  <dcterms:created xsi:type="dcterms:W3CDTF">2023-01-01T10:38:18Z</dcterms:created>
  <dcterms:modified xsi:type="dcterms:W3CDTF">2023-01-01T13:22:27Z</dcterms:modified>
</cp:coreProperties>
</file>